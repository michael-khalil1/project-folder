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D:\OTHERS\MIC\Onedrive\Desktop\"/>
    </mc:Choice>
  </mc:AlternateContent>
  <xr:revisionPtr revIDLastSave="0" documentId="8_{90842D22-0E21-4D74-AF12-86E8CAA4F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7" i="1"/>
  <c r="E18" i="1"/>
  <c r="E19" i="1"/>
  <c r="E20" i="1"/>
  <c r="E21" i="1"/>
  <c r="E22" i="1"/>
  <c r="E23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<sst xmlns="http://schemas.openxmlformats.org/spreadsheetml/2006/main" count="26" uniqueCount="26">
  <si>
    <t>Project: Sports Warehouse Online Retail Platform Project</t>
  </si>
  <si>
    <t>Project Manager: Michael Khalil</t>
  </si>
  <si>
    <t>Note:Updated for : Server delay (+2 weeks), sick leave (+4 days), banking integration (+25 days). All affected tasks highlighted.”</t>
  </si>
  <si>
    <t>TASK</t>
  </si>
  <si>
    <t>Start</t>
  </si>
  <si>
    <t>End</t>
  </si>
  <si>
    <t>Progress</t>
  </si>
  <si>
    <t>Duration</t>
  </si>
  <si>
    <t>Project Initiation and Setup </t>
  </si>
  <si>
    <t>Requirements Gathering </t>
  </si>
  <si>
    <t>Business Analysis and Backlog Creation </t>
  </si>
  <si>
    <t>System Design and User Interface Design </t>
  </si>
  <si>
    <t>Development Sprint 1 – Framework and Architecture </t>
  </si>
  <si>
    <t>Development Sprint 2 – Product Catalogue Module </t>
  </si>
  <si>
    <t>Development Sprint 3 – User Login and Authentication </t>
  </si>
  <si>
    <t>Development Sprint 4 – Prototype Build </t>
  </si>
  <si>
    <t>Banking Software Integration Development </t>
  </si>
  <si>
    <t>Development Sprint 5 – eCommerce and Shopping Cart </t>
  </si>
  <si>
    <t>Development Sprint 6 – Reporting and Analytics </t>
  </si>
  <si>
    <t>System Testing </t>
  </si>
  <si>
    <t>Performance and Load Testing </t>
  </si>
  <si>
    <t>User Acceptance Testing </t>
  </si>
  <si>
    <t>Deployment Preparation </t>
  </si>
  <si>
    <t>System Go‑Live </t>
  </si>
  <si>
    <t>Staff Training and Handover </t>
  </si>
  <si>
    <t>Post‑Implementation Review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</si>
</sst>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5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4" fillId="4" borderId="1" xfId="2" applyFont="1" applyFill="1" applyBorder="1"/>
    <xf numFmtId="1" fontId="4" fillId="4" borderId="1" xfId="2" applyNumberFormat="1" applyFont="1" applyFill="1" applyBorder="1"/>
    <xf numFmtId="0" fontId="4" fillId="4" borderId="1" xfId="0" applyFont="1" applyFill="1" applyBorder="1"/>
    <xf numFmtId="0" fontId="3" fillId="5" borderId="1" xfId="1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NumberFormat="1"/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1F16D9"/>
      <color rgb="FF66E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Sheet1!$A$7:$A$24</c:f>
              <c:strCache>
                <c:ptCount val="18"/>
                <c:pt idx="0">
                  <c:v>Project Initiation and Setup </c:v>
                </c:pt>
                <c:pt idx="1">
                  <c:v>Requirements Gathering </c:v>
                </c:pt>
                <c:pt idx="2">
                  <c:v>Business Analysis and Backlog Creation </c:v>
                </c:pt>
                <c:pt idx="3">
                  <c:v>System Design and User Interface Design </c:v>
                </c:pt>
                <c:pt idx="4">
                  <c:v>Development Sprint 1 – Framework and Architecture </c:v>
                </c:pt>
                <c:pt idx="5">
                  <c:v>Development Sprint 2 – Product Catalogue Module </c:v>
                </c:pt>
                <c:pt idx="6">
                  <c:v>Development Sprint 3 – User Login and Authentication </c:v>
                </c:pt>
                <c:pt idx="7">
                  <c:v>Development Sprint 4 – Prototype Build </c:v>
                </c:pt>
                <c:pt idx="8">
                  <c:v>Banking Software Integration Development </c:v>
                </c:pt>
                <c:pt idx="9">
                  <c:v>Development Sprint 5 – eCommerce and Shopping Cart </c:v>
                </c:pt>
                <c:pt idx="10">
                  <c:v>Development Sprint 6 – Reporting and Analytics </c:v>
                </c:pt>
                <c:pt idx="11">
                  <c:v>System Testing </c:v>
                </c:pt>
                <c:pt idx="12">
                  <c:v>Performance and Load Testing </c:v>
                </c:pt>
                <c:pt idx="13">
                  <c:v>User Acceptance Testing </c:v>
                </c:pt>
                <c:pt idx="14">
                  <c:v>Deployment Preparation </c:v>
                </c:pt>
                <c:pt idx="15">
                  <c:v>System Go‑Live </c:v>
                </c:pt>
                <c:pt idx="16">
                  <c:v>Staff Training and Handover </c:v>
                </c:pt>
                <c:pt idx="17">
                  <c:v>Post‑Implementation Review </c:v>
                </c:pt>
              </c:strCache>
            </c:strRef>
          </c:cat>
          <c:val>
            <c:numRef>
              <c:f>Sheet1!$B$7:$B$24</c:f>
              <c:numCache>
                <c:formatCode>m/d/yyyy</c:formatCode>
                <c:ptCount val="18"/>
                <c:pt idx="0">
                  <c:v>46104</c:v>
                </c:pt>
                <c:pt idx="1">
                  <c:v>46118</c:v>
                </c:pt>
                <c:pt idx="2">
                  <c:v>46139</c:v>
                </c:pt>
                <c:pt idx="3">
                  <c:v>46153</c:v>
                </c:pt>
                <c:pt idx="4">
                  <c:v>46192</c:v>
                </c:pt>
                <c:pt idx="5">
                  <c:v>46206</c:v>
                </c:pt>
                <c:pt idx="6">
                  <c:v>46220</c:v>
                </c:pt>
                <c:pt idx="7">
                  <c:v>46234</c:v>
                </c:pt>
                <c:pt idx="8">
                  <c:v>46248</c:v>
                </c:pt>
                <c:pt idx="9">
                  <c:v>46284</c:v>
                </c:pt>
                <c:pt idx="10">
                  <c:v>46298</c:v>
                </c:pt>
                <c:pt idx="11">
                  <c:v>46312</c:v>
                </c:pt>
                <c:pt idx="12">
                  <c:v>46326</c:v>
                </c:pt>
                <c:pt idx="13">
                  <c:v>46340</c:v>
                </c:pt>
                <c:pt idx="14">
                  <c:v>46347</c:v>
                </c:pt>
                <c:pt idx="15">
                  <c:v>46354</c:v>
                </c:pt>
                <c:pt idx="16">
                  <c:v>46361</c:v>
                </c:pt>
                <c:pt idx="17">
                  <c:v>46368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3-40C2-9656-AB9E5D742FFE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Sheet1!$A$7:$A$24</c:f>
              <c:strCache>
                <c:ptCount val="18"/>
                <c:pt idx="0">
                  <c:v>Project Initiation and Setup </c:v>
                </c:pt>
                <c:pt idx="1">
                  <c:v>Requirements Gathering </c:v>
                </c:pt>
                <c:pt idx="2">
                  <c:v>Business Analysis and Backlog Creation </c:v>
                </c:pt>
                <c:pt idx="3">
                  <c:v>System Design and User Interface Design </c:v>
                </c:pt>
                <c:pt idx="4">
                  <c:v>Development Sprint 1 – Framework and Architecture </c:v>
                </c:pt>
                <c:pt idx="5">
                  <c:v>Development Sprint 2 – Product Catalogue Module </c:v>
                </c:pt>
                <c:pt idx="6">
                  <c:v>Development Sprint 3 – User Login and Authentication </c:v>
                </c:pt>
                <c:pt idx="7">
                  <c:v>Development Sprint 4 – Prototype Build </c:v>
                </c:pt>
                <c:pt idx="8">
                  <c:v>Banking Software Integration Development </c:v>
                </c:pt>
                <c:pt idx="9">
                  <c:v>Development Sprint 5 – eCommerce and Shopping Cart </c:v>
                </c:pt>
                <c:pt idx="10">
                  <c:v>Development Sprint 6 – Reporting and Analytics </c:v>
                </c:pt>
                <c:pt idx="11">
                  <c:v>System Testing </c:v>
                </c:pt>
                <c:pt idx="12">
                  <c:v>Performance and Load Testing </c:v>
                </c:pt>
                <c:pt idx="13">
                  <c:v>User Acceptance Testing </c:v>
                </c:pt>
                <c:pt idx="14">
                  <c:v>Deployment Preparation </c:v>
                </c:pt>
                <c:pt idx="15">
                  <c:v>System Go‑Live </c:v>
                </c:pt>
                <c:pt idx="16">
                  <c:v>Staff Training and Handover </c:v>
                </c:pt>
                <c:pt idx="17">
                  <c:v>Post‑Implementation Review </c:v>
                </c:pt>
              </c:strCache>
            </c:strRef>
          </c:cat>
          <c:val>
            <c:numRef>
              <c:f>Sheet1!$E$7:$E$24</c:f>
              <c:numCache>
                <c:formatCode>0</c:formatCode>
                <c:ptCount val="18"/>
                <c:pt idx="0">
                  <c:v>13</c:v>
                </c:pt>
                <c:pt idx="1">
                  <c:v>20</c:v>
                </c:pt>
                <c:pt idx="2">
                  <c:v>13</c:v>
                </c:pt>
                <c:pt idx="3">
                  <c:v>20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35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3-40C2-9656-AB9E5D742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043327"/>
        <c:axId val="4037567"/>
      </c:barChart>
      <c:catAx>
        <c:axId val="40433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567"/>
        <c:crosses val="autoZero"/>
        <c:auto val="1"/>
        <c:lblAlgn val="ctr"/>
        <c:lblOffset val="100"/>
        <c:noMultiLvlLbl val="0"/>
      </c:catAx>
      <c:valAx>
        <c:axId val="4037567"/>
        <c:scaling>
          <c:orientation val="minMax"/>
          <c:max val="46374"/>
          <c:min val="4610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6</xdr:row>
      <xdr:rowOff>9525</xdr:rowOff>
    </xdr:from>
    <xdr:to>
      <xdr:col>33</xdr:col>
      <xdr:colOff>180975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BE0A0-97F1-D229-33F4-F49F63929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F1" zoomScale="55" zoomScaleNormal="55" workbookViewId="0">
      <selection activeCell="V64" sqref="R64:V69"/>
    </sheetView>
  </sheetViews>
  <sheetFormatPr defaultRowHeight="14.45"/>
  <cols>
    <col min="1" max="1" width="26.7109375" customWidth="1"/>
    <col min="2" max="2" width="30.140625" customWidth="1"/>
    <col min="3" max="3" width="23.42578125" customWidth="1"/>
    <col min="5" max="5" width="11.7109375" bestFit="1" customWidth="1"/>
    <col min="20" max="20" width="10.5703125" bestFit="1" customWidth="1"/>
  </cols>
  <sheetData>
    <row r="1" spans="1:5">
      <c r="A1" t="s">
        <v>0</v>
      </c>
    </row>
    <row r="2" spans="1:5">
      <c r="A2" t="s">
        <v>1</v>
      </c>
    </row>
    <row r="3" spans="1:5" ht="15.75">
      <c r="A3" t="s">
        <v>2</v>
      </c>
      <c r="C3" s="11"/>
    </row>
    <row r="4" spans="1:5" ht="15.6">
      <c r="C4" s="11"/>
    </row>
    <row r="6" spans="1:5" ht="21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</row>
    <row r="7" spans="1:5" ht="31.15">
      <c r="A7" s="4" t="s">
        <v>8</v>
      </c>
      <c r="B7" s="5">
        <v>46104</v>
      </c>
      <c r="C7" s="5">
        <v>46117</v>
      </c>
      <c r="D7" s="6"/>
      <c r="E7" s="7">
        <f>C7-B7</f>
        <v>13</v>
      </c>
    </row>
    <row r="8" spans="1:5" ht="21">
      <c r="A8" s="4" t="s">
        <v>9</v>
      </c>
      <c r="B8" s="5">
        <v>46118</v>
      </c>
      <c r="C8" s="5">
        <v>46138</v>
      </c>
      <c r="D8" s="6"/>
      <c r="E8" s="7">
        <f t="shared" ref="E8:E23" si="0">_xlfn.DAYS(C8,B8)</f>
        <v>20</v>
      </c>
    </row>
    <row r="9" spans="1:5" ht="31.15">
      <c r="A9" s="4" t="s">
        <v>10</v>
      </c>
      <c r="B9" s="5">
        <v>46139</v>
      </c>
      <c r="C9" s="5">
        <v>46152</v>
      </c>
      <c r="D9" s="6"/>
      <c r="E9" s="7">
        <f t="shared" si="0"/>
        <v>13</v>
      </c>
    </row>
    <row r="10" spans="1:5" ht="31.15">
      <c r="A10" s="4" t="s">
        <v>11</v>
      </c>
      <c r="B10" s="5">
        <v>46153</v>
      </c>
      <c r="C10" s="5">
        <v>46173</v>
      </c>
      <c r="D10" s="6"/>
      <c r="E10" s="7">
        <f t="shared" si="0"/>
        <v>20</v>
      </c>
    </row>
    <row r="11" spans="1:5" ht="48.75">
      <c r="A11" s="10" t="s">
        <v>12</v>
      </c>
      <c r="B11" s="5">
        <v>46192</v>
      </c>
      <c r="C11" s="5">
        <v>46205</v>
      </c>
      <c r="D11" s="6"/>
      <c r="E11" s="7">
        <f t="shared" si="0"/>
        <v>13</v>
      </c>
    </row>
    <row r="12" spans="1:5" ht="46.9">
      <c r="A12" s="10" t="s">
        <v>13</v>
      </c>
      <c r="B12" s="5">
        <v>46206</v>
      </c>
      <c r="C12" s="5">
        <v>46219</v>
      </c>
      <c r="D12" s="6"/>
      <c r="E12" s="7">
        <f t="shared" si="0"/>
        <v>13</v>
      </c>
    </row>
    <row r="13" spans="1:5" ht="46.9">
      <c r="A13" s="10" t="s">
        <v>14</v>
      </c>
      <c r="B13" s="5">
        <v>46220</v>
      </c>
      <c r="C13" s="5">
        <v>46233</v>
      </c>
      <c r="D13" s="6"/>
      <c r="E13" s="7">
        <f t="shared" si="0"/>
        <v>13</v>
      </c>
    </row>
    <row r="14" spans="1:5" ht="31.15">
      <c r="A14" s="10" t="s">
        <v>15</v>
      </c>
      <c r="B14" s="5">
        <v>46234</v>
      </c>
      <c r="C14" s="5">
        <v>46247</v>
      </c>
      <c r="D14" s="6"/>
      <c r="E14" s="7">
        <f t="shared" si="0"/>
        <v>13</v>
      </c>
    </row>
    <row r="15" spans="1:5" ht="31.15">
      <c r="A15" s="10" t="s">
        <v>16</v>
      </c>
      <c r="B15" s="5">
        <v>46248</v>
      </c>
      <c r="C15" s="5">
        <v>46283</v>
      </c>
      <c r="D15" s="6"/>
      <c r="E15" s="7">
        <f t="shared" si="0"/>
        <v>35</v>
      </c>
    </row>
    <row r="16" spans="1:5" ht="46.9">
      <c r="A16" s="10" t="s">
        <v>17</v>
      </c>
      <c r="B16" s="5">
        <v>46284</v>
      </c>
      <c r="C16" s="5">
        <v>46297</v>
      </c>
      <c r="D16" s="6"/>
      <c r="E16" s="7">
        <f t="shared" si="0"/>
        <v>13</v>
      </c>
    </row>
    <row r="17" spans="1:10" ht="31.15">
      <c r="A17" s="10" t="s">
        <v>18</v>
      </c>
      <c r="B17" s="5">
        <v>46298</v>
      </c>
      <c r="C17" s="5">
        <v>46311</v>
      </c>
      <c r="D17" s="6"/>
      <c r="E17" s="7">
        <f t="shared" si="0"/>
        <v>13</v>
      </c>
    </row>
    <row r="18" spans="1:10" ht="21">
      <c r="A18" s="10" t="s">
        <v>19</v>
      </c>
      <c r="B18" s="5">
        <v>46312</v>
      </c>
      <c r="C18" s="5">
        <v>46325</v>
      </c>
      <c r="D18" s="6"/>
      <c r="E18" s="7">
        <f t="shared" si="0"/>
        <v>13</v>
      </c>
    </row>
    <row r="19" spans="1:10" ht="31.15">
      <c r="A19" s="10" t="s">
        <v>20</v>
      </c>
      <c r="B19" s="5">
        <v>46326</v>
      </c>
      <c r="C19" s="5">
        <v>46339</v>
      </c>
      <c r="D19" s="6"/>
      <c r="E19" s="7">
        <f t="shared" si="0"/>
        <v>13</v>
      </c>
    </row>
    <row r="20" spans="1:10" ht="21">
      <c r="A20" s="10" t="s">
        <v>21</v>
      </c>
      <c r="B20" s="5">
        <v>46340</v>
      </c>
      <c r="C20" s="5">
        <v>46346</v>
      </c>
      <c r="D20" s="6"/>
      <c r="E20" s="7">
        <f t="shared" si="0"/>
        <v>6</v>
      </c>
      <c r="J20" s="12"/>
    </row>
    <row r="21" spans="1:10" ht="21">
      <c r="A21" s="10" t="s">
        <v>22</v>
      </c>
      <c r="B21" s="5">
        <v>46347</v>
      </c>
      <c r="C21" s="5">
        <v>46353</v>
      </c>
      <c r="D21" s="6"/>
      <c r="E21" s="7">
        <f t="shared" si="0"/>
        <v>6</v>
      </c>
    </row>
    <row r="22" spans="1:10" ht="21">
      <c r="A22" s="10" t="s">
        <v>23</v>
      </c>
      <c r="B22" s="5">
        <v>46354</v>
      </c>
      <c r="C22" s="5">
        <v>46360</v>
      </c>
      <c r="D22" s="6"/>
      <c r="E22" s="7">
        <f t="shared" si="0"/>
        <v>6</v>
      </c>
    </row>
    <row r="23" spans="1:10" ht="31.15">
      <c r="A23" s="10" t="s">
        <v>24</v>
      </c>
      <c r="B23" s="5">
        <v>46361</v>
      </c>
      <c r="C23" s="5">
        <v>46367</v>
      </c>
      <c r="D23" s="6"/>
      <c r="E23" s="7">
        <f t="shared" si="0"/>
        <v>6</v>
      </c>
    </row>
    <row r="24" spans="1:10" ht="33.75">
      <c r="A24" s="10" t="s">
        <v>25</v>
      </c>
      <c r="B24" s="5">
        <v>46368</v>
      </c>
      <c r="C24" s="5">
        <v>46374</v>
      </c>
      <c r="D24" s="8"/>
      <c r="E24" s="8">
        <f>C24-B24</f>
        <v>6</v>
      </c>
    </row>
    <row r="25" spans="1:10" ht="21">
      <c r="A25" s="3"/>
    </row>
    <row r="35" spans="1:5">
      <c r="A35" s="2"/>
      <c r="B35" s="2"/>
      <c r="C35" s="2"/>
      <c r="D35" s="2"/>
      <c r="E35" s="2"/>
    </row>
    <row r="36" spans="1:5">
      <c r="A36" s="1"/>
      <c r="B36" s="1"/>
      <c r="C36" s="1"/>
      <c r="D36" s="1"/>
      <c r="E36" s="1"/>
    </row>
    <row r="37" spans="1:5">
      <c r="A37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Khalil</dc:creator>
  <cp:keywords/>
  <dc:description/>
  <cp:lastModifiedBy/>
  <cp:revision/>
  <dcterms:created xsi:type="dcterms:W3CDTF">2015-06-05T18:17:20Z</dcterms:created>
  <dcterms:modified xsi:type="dcterms:W3CDTF">2026-03-28T23:16:49Z</dcterms:modified>
  <cp:category/>
  <cp:contentStatus/>
</cp:coreProperties>
</file>